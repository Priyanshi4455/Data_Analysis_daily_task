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3" customWidth="1" min="3" max="3"/>
    <col width="10" customWidth="1" min="4" max="4"/>
    <col width="10" customWidth="1" min="5" max="5"/>
    <col width="11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Day 06 - Lookup Functions</t>
        </is>
      </c>
    </row>
    <row r="2"/>
    <row r="3">
      <c r="A3" s="2" t="inlineStr">
        <is>
          <t>Product_ID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Price</t>
        </is>
      </c>
      <c r="E3" s="2" t="inlineStr">
        <is>
          <t>Stock</t>
        </is>
      </c>
      <c r="F3" s="2" t="inlineStr">
        <is>
          <t>Lookup_ID</t>
        </is>
      </c>
      <c r="G3" s="2" t="inlineStr">
        <is>
          <t>XLOOKUP</t>
        </is>
      </c>
      <c r="H3" s="2" t="inlineStr">
        <is>
          <t>VLOOKUP</t>
        </is>
      </c>
      <c r="I3" s="2" t="inlineStr">
        <is>
          <t>INDEX/MATCH</t>
        </is>
      </c>
      <c r="J3" s="2" t="inlineStr">
        <is>
          <t>Status</t>
        </is>
      </c>
    </row>
    <row r="4">
      <c r="A4" t="inlineStr">
        <is>
          <t>P001</t>
        </is>
      </c>
      <c r="B4" t="inlineStr">
        <is>
          <t>Laptop</t>
        </is>
      </c>
      <c r="C4" t="inlineStr">
        <is>
          <t>Electronics</t>
        </is>
      </c>
      <c r="D4" t="n">
        <v>55000</v>
      </c>
      <c r="E4" t="n">
        <v>10</v>
      </c>
      <c r="F4" t="inlineStr">
        <is>
          <t>P001</t>
        </is>
      </c>
      <c r="G4">
        <f>XLOOKUP(F4,A4:A8,B4:B8,"Not Found")</f>
        <v/>
      </c>
      <c r="H4">
        <f>IFERROR(VLOOKUP(F4,A4:E8,4,FALSE),"Not Found")</f>
        <v/>
      </c>
      <c r="I4">
        <f>IFERROR(INDEX(D4:D8,MATCH(F4,A4:A8,0)),"Not Found")</f>
        <v/>
      </c>
      <c r="J4">
        <f>IFERROR(IF(VLOOKUP(F4,A4:E8,5,FALSE)&gt;10,"In Stock","Low Stock"),"Unknown")</f>
        <v/>
      </c>
    </row>
    <row r="5">
      <c r="A5" t="inlineStr">
        <is>
          <t>P002</t>
        </is>
      </c>
      <c r="B5" t="inlineStr">
        <is>
          <t>Monitor</t>
        </is>
      </c>
      <c r="C5" t="inlineStr">
        <is>
          <t>Electronics</t>
        </is>
      </c>
      <c r="D5" t="n">
        <v>18000</v>
      </c>
      <c r="E5" t="n">
        <v>14</v>
      </c>
      <c r="F5" t="inlineStr">
        <is>
          <t>P003</t>
        </is>
      </c>
      <c r="G5">
        <f>XLOOKUP(F5,A4:A8,B4:B8,"Not Found")</f>
        <v/>
      </c>
      <c r="H5">
        <f>IFERROR(VLOOKUP(F5,A4:E8,4,FALSE),"Not Found")</f>
        <v/>
      </c>
      <c r="I5">
        <f>IFERROR(INDEX(D4:D8,MATCH(F5,A4:A8,0)),"Not Found")</f>
        <v/>
      </c>
      <c r="J5">
        <f>IFERROR(IF(VLOOKUP(F5,A4:E8,5,FALSE)&gt;10,"In Stock","Low Stock"),"Unknown")</f>
        <v/>
      </c>
    </row>
    <row r="6">
      <c r="A6" t="inlineStr">
        <is>
          <t>P003</t>
        </is>
      </c>
      <c r="B6" t="inlineStr">
        <is>
          <t>Mouse</t>
        </is>
      </c>
      <c r="C6" t="inlineStr">
        <is>
          <t>Accessories</t>
        </is>
      </c>
      <c r="D6" t="n">
        <v>900</v>
      </c>
      <c r="E6" t="n">
        <v>30</v>
      </c>
      <c r="F6" t="inlineStr">
        <is>
          <t>P005</t>
        </is>
      </c>
      <c r="G6">
        <f>XLOOKUP(F6,A4:A8,B4:B8,"Not Found")</f>
        <v/>
      </c>
      <c r="H6">
        <f>IFERROR(VLOOKUP(F6,A4:E8,4,FALSE),"Not Found")</f>
        <v/>
      </c>
      <c r="I6">
        <f>IFERROR(INDEX(D4:D8,MATCH(F6,A4:A8,0)),"Not Found")</f>
        <v/>
      </c>
      <c r="J6">
        <f>IFERROR(IF(VLOOKUP(F6,A4:E8,5,FALSE)&gt;10,"In Stock","Low Stock"),"Unknown")</f>
        <v/>
      </c>
    </row>
    <row r="7">
      <c r="A7" t="inlineStr">
        <is>
          <t>P004</t>
        </is>
      </c>
      <c r="B7" t="inlineStr">
        <is>
          <t>Chair</t>
        </is>
      </c>
      <c r="C7" t="inlineStr">
        <is>
          <t>Furniture</t>
        </is>
      </c>
      <c r="D7" t="n">
        <v>8500</v>
      </c>
      <c r="E7" t="n">
        <v>12</v>
      </c>
      <c r="F7" t="inlineStr">
        <is>
          <t>P999</t>
        </is>
      </c>
      <c r="G7">
        <f>XLOOKUP(F7,A4:A8,B4:B8,"Not Found")</f>
        <v/>
      </c>
      <c r="H7">
        <f>IFERROR(VLOOKUP(F7,A4:E8,4,FALSE),"Not Found")</f>
        <v/>
      </c>
      <c r="I7">
        <f>IFERROR(INDEX(D4:D8,MATCH(F7,A4:A8,0)),"Not Found")</f>
        <v/>
      </c>
      <c r="J7">
        <f>IFERROR(IF(VLOOKUP(F7,A4:E8,5,FALSE)&gt;10,"In Stock","Low Stock"),"Unknown")</f>
        <v/>
      </c>
    </row>
    <row r="8">
      <c r="A8" t="inlineStr">
        <is>
          <t>P005</t>
        </is>
      </c>
      <c r="B8" t="inlineStr">
        <is>
          <t>Desk</t>
        </is>
      </c>
      <c r="C8" t="inlineStr">
        <is>
          <t>Furniture</t>
        </is>
      </c>
      <c r="D8" t="n">
        <v>12000</v>
      </c>
      <c r="E8" t="n">
        <v>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