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al_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26" customWidth="1" min="11" max="11"/>
    <col width="28" customWidth="1" min="12" max="12"/>
  </cols>
  <sheetData>
    <row r="1">
      <c r="A1" s="1" t="inlineStr">
        <is>
          <t>Day 05 - Conditional Calculation</t>
        </is>
      </c>
    </row>
    <row r="2"/>
    <row r="3">
      <c r="A3" s="2" t="inlineStr">
        <is>
          <t>Region</t>
        </is>
      </c>
      <c r="B3" s="2" t="inlineStr">
        <is>
          <t>Category</t>
        </is>
      </c>
      <c r="C3" s="2" t="inlineStr">
        <is>
          <t>Sales</t>
        </is>
      </c>
      <c r="D3" s="2" t="inlineStr">
        <is>
          <t>Orders</t>
        </is>
      </c>
      <c r="E3" s="2" t="inlineStr">
        <is>
          <t>Employee</t>
        </is>
      </c>
      <c r="F3" s="2" t="inlineStr">
        <is>
          <t>Salary</t>
        </is>
      </c>
      <c r="G3" s="2" t="inlineStr">
        <is>
          <t>Status</t>
        </is>
      </c>
      <c r="H3" s="2" t="inlineStr">
        <is>
          <t>Month</t>
        </is>
      </c>
      <c r="I3" s="2" t="inlineStr">
        <is>
          <t>Profit</t>
        </is>
      </c>
      <c r="K3" t="inlineStr">
        <is>
          <t>Question</t>
        </is>
      </c>
      <c r="L3" t="inlineStr">
        <is>
          <t>Formula</t>
        </is>
      </c>
    </row>
    <row r="4">
      <c r="A4" t="inlineStr">
        <is>
          <t>North</t>
        </is>
      </c>
      <c r="B4" t="inlineStr">
        <is>
          <t>Electronics</t>
        </is>
      </c>
      <c r="C4" t="n">
        <v>85000</v>
      </c>
      <c r="D4" t="n">
        <v>12</v>
      </c>
      <c r="E4" t="inlineStr">
        <is>
          <t>Aarav</t>
        </is>
      </c>
      <c r="F4" t="n">
        <v>55000</v>
      </c>
      <c r="G4" t="inlineStr">
        <is>
          <t>Completed</t>
        </is>
      </c>
      <c r="H4" t="inlineStr">
        <is>
          <t>Jan</t>
        </is>
      </c>
      <c r="I4" t="n">
        <v>12000</v>
      </c>
      <c r="K4" t="inlineStr">
        <is>
          <t>North Sales</t>
        </is>
      </c>
      <c r="L4">
        <f>SUMIF(A4:A9,"North",C4:C9)</f>
        <v/>
      </c>
    </row>
    <row r="5">
      <c r="A5" t="inlineStr">
        <is>
          <t>South</t>
        </is>
      </c>
      <c r="B5" t="inlineStr">
        <is>
          <t>Furniture</t>
        </is>
      </c>
      <c r="C5" t="n">
        <v>62000</v>
      </c>
      <c r="D5" t="n">
        <v>9</v>
      </c>
      <c r="E5" t="inlineStr">
        <is>
          <t>Riya</t>
        </is>
      </c>
      <c r="F5" t="n">
        <v>48000</v>
      </c>
      <c r="G5" t="inlineStr">
        <is>
          <t>Pending</t>
        </is>
      </c>
      <c r="H5" t="inlineStr">
        <is>
          <t>Jan</t>
        </is>
      </c>
      <c r="I5" t="n">
        <v>9000</v>
      </c>
      <c r="K5" t="inlineStr">
        <is>
          <t>Electronics Sales</t>
        </is>
      </c>
      <c r="L5">
        <f>SUMIF(B4:B9,"Electronics",C4:C9)</f>
        <v/>
      </c>
    </row>
    <row r="6">
      <c r="A6" t="inlineStr">
        <is>
          <t>North</t>
        </is>
      </c>
      <c r="B6" t="inlineStr">
        <is>
          <t>Furniture</t>
        </is>
      </c>
      <c r="C6" t="n">
        <v>91000</v>
      </c>
      <c r="D6" t="n">
        <v>14</v>
      </c>
      <c r="E6" t="inlineStr">
        <is>
          <t>Rahul</t>
        </is>
      </c>
      <c r="F6" t="n">
        <v>62000</v>
      </c>
      <c r="G6" t="inlineStr">
        <is>
          <t>Completed</t>
        </is>
      </c>
      <c r="H6" t="inlineStr">
        <is>
          <t>Feb</t>
        </is>
      </c>
      <c r="I6" t="n">
        <v>15000</v>
      </c>
      <c r="K6" t="inlineStr">
        <is>
          <t>North Electronics Sales</t>
        </is>
      </c>
      <c r="L6">
        <f>SUMIFS(C4:C9,A4:A9,"North",B4:B9,"Electronics")</f>
        <v/>
      </c>
    </row>
    <row r="7">
      <c r="A7" t="inlineStr">
        <is>
          <t>West</t>
        </is>
      </c>
      <c r="B7" t="inlineStr">
        <is>
          <t>Accessories</t>
        </is>
      </c>
      <c r="C7" t="n">
        <v>45000</v>
      </c>
      <c r="D7" t="n">
        <v>8</v>
      </c>
      <c r="E7" t="inlineStr">
        <is>
          <t>Neha</t>
        </is>
      </c>
      <c r="F7" t="n">
        <v>42000</v>
      </c>
      <c r="G7" t="inlineStr">
        <is>
          <t>Completed</t>
        </is>
      </c>
      <c r="H7" t="inlineStr">
        <is>
          <t>Feb</t>
        </is>
      </c>
      <c r="I7" t="n">
        <v>7000</v>
      </c>
      <c r="K7" t="inlineStr">
        <is>
          <t>Completed Orders</t>
        </is>
      </c>
      <c r="L7">
        <f>COUNTIF(G4:G9,"Completed")</f>
        <v/>
      </c>
    </row>
    <row r="8">
      <c r="A8" t="inlineStr">
        <is>
          <t>South</t>
        </is>
      </c>
      <c r="B8" t="inlineStr">
        <is>
          <t>Electronics</t>
        </is>
      </c>
      <c r="C8" t="n">
        <v>76000</v>
      </c>
      <c r="D8" t="n">
        <v>11</v>
      </c>
      <c r="E8" t="inlineStr">
        <is>
          <t>Kabir</t>
        </is>
      </c>
      <c r="F8" t="n">
        <v>58000</v>
      </c>
      <c r="G8" t="inlineStr">
        <is>
          <t>Completed</t>
        </is>
      </c>
      <c r="H8" t="inlineStr">
        <is>
          <t>Mar</t>
        </is>
      </c>
      <c r="I8" t="n">
        <v>11000</v>
      </c>
      <c r="K8" t="inlineStr">
        <is>
          <t>North Electronics Orders</t>
        </is>
      </c>
      <c r="L8">
        <f>COUNTIFS(A4:A9,"North",B4:B9,"Electronics")</f>
        <v/>
      </c>
    </row>
    <row r="9">
      <c r="A9" t="inlineStr">
        <is>
          <t>East</t>
        </is>
      </c>
      <c r="B9" t="inlineStr">
        <is>
          <t>Electronics</t>
        </is>
      </c>
      <c r="C9" t="n">
        <v>54000</v>
      </c>
      <c r="D9" t="n">
        <v>7</v>
      </c>
      <c r="E9" t="inlineStr">
        <is>
          <t>Sana</t>
        </is>
      </c>
      <c r="F9" t="n">
        <v>51000</v>
      </c>
      <c r="G9" t="inlineStr">
        <is>
          <t>Pending</t>
        </is>
      </c>
      <c r="H9" t="inlineStr">
        <is>
          <t>Mar</t>
        </is>
      </c>
      <c r="I9" t="n">
        <v>8000</v>
      </c>
      <c r="K9" t="inlineStr">
        <is>
          <t>Avg Electronics Sales</t>
        </is>
      </c>
      <c r="L9">
        <f>AVERAGEIF(B4:B9,"Electronics",C4:C9)</f>
        <v/>
      </c>
    </row>
    <row r="10">
      <c r="K10" t="inlineStr">
        <is>
          <t>Completed North Sales</t>
        </is>
      </c>
      <c r="L10">
        <f>SUMIFS(C4:C9,A4:A9,"North",G4:G9,"Completed")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2026-09-22T05:06:09Z</dcterms:created>
  <dcterms:modified xmlns:dcterms="http://purl.org/dc/terms/" xmlns:xsi="http://www.w3.org/2001/XMLSchema-instance" xsi:type="dcterms:W3CDTF">2026-09-22T05:06:09Z</dcterms:modified>
</cp:coreProperties>
</file>